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AACAF8A-3CBE-4688-9FCF-9C040210EE0F}" xr6:coauthVersionLast="36" xr6:coauthVersionMax="47" xr10:uidLastSave="{00000000-0000-0000-0000-000000000000}"/>
  <bookViews>
    <workbookView xWindow="0" yWindow="0" windowWidth="19200" windowHeight="6930" firstSheet="5" activeTab="5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Concatenate" sheetId="1" r:id="rId7"/>
    <sheet name="Substitute" sheetId="7" r:id="rId8"/>
    <sheet name="SUM-SumIF" sheetId="12" r:id="rId9"/>
    <sheet name="Count-CountIF" sheetId="5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K2" i="12"/>
  <c r="J3" i="12"/>
  <c r="J4" i="12"/>
  <c r="J5" i="12"/>
  <c r="J6" i="12"/>
  <c r="J7" i="12"/>
  <c r="J8" i="12"/>
  <c r="J9" i="12"/>
  <c r="J10" i="12"/>
  <c r="J2" i="12"/>
  <c r="K3" i="7"/>
  <c r="K4" i="7"/>
  <c r="K5" i="7"/>
  <c r="K6" i="7"/>
  <c r="K7" i="7"/>
  <c r="K8" i="7"/>
  <c r="K9" i="7"/>
  <c r="K10" i="7"/>
  <c r="K2" i="7"/>
  <c r="J3" i="7"/>
  <c r="J4" i="7"/>
  <c r="J5" i="7"/>
  <c r="J6" i="7"/>
  <c r="J7" i="7"/>
  <c r="J8" i="7"/>
  <c r="J9" i="7"/>
  <c r="J10" i="7"/>
  <c r="J2" i="7"/>
  <c r="L3" i="7"/>
  <c r="L4" i="7"/>
  <c r="L5" i="7"/>
  <c r="L6" i="7"/>
  <c r="L7" i="7"/>
  <c r="L8" i="7"/>
  <c r="L9" i="7"/>
  <c r="L10" i="7"/>
  <c r="L2" i="7"/>
  <c r="K3" i="1"/>
  <c r="K4" i="1"/>
  <c r="K5" i="1"/>
  <c r="K6" i="1"/>
  <c r="K7" i="1"/>
  <c r="K8" i="1"/>
  <c r="K9" i="1"/>
  <c r="K10" i="1"/>
  <c r="K2" i="1"/>
  <c r="J3" i="1"/>
  <c r="J4" i="1"/>
  <c r="J5" i="1"/>
  <c r="J6" i="1"/>
  <c r="J7" i="1"/>
  <c r="J8" i="1"/>
  <c r="J9" i="1"/>
  <c r="J10" i="1"/>
  <c r="J11" i="1"/>
  <c r="J12" i="1"/>
  <c r="J2" i="1"/>
  <c r="J3" i="6"/>
  <c r="J4" i="6"/>
  <c r="J5" i="6"/>
  <c r="J6" i="6"/>
  <c r="J7" i="6"/>
  <c r="J8" i="6"/>
  <c r="J9" i="6"/>
  <c r="J10" i="6"/>
  <c r="J2" i="6"/>
  <c r="M3" i="3"/>
  <c r="M4" i="3"/>
  <c r="M5" i="3"/>
  <c r="M6" i="3"/>
  <c r="M7" i="3"/>
  <c r="M8" i="3"/>
  <c r="M9" i="3"/>
  <c r="M10" i="3"/>
  <c r="M2" i="3"/>
  <c r="L10" i="3"/>
  <c r="L9" i="3"/>
  <c r="L8" i="3"/>
  <c r="L7" i="3"/>
  <c r="L6" i="3"/>
  <c r="L5" i="3"/>
  <c r="L4" i="3"/>
  <c r="L3" i="3"/>
  <c r="L2" i="3"/>
  <c r="J3" i="3"/>
  <c r="J4" i="3"/>
  <c r="J5" i="3"/>
  <c r="J6" i="3"/>
  <c r="J7" i="3"/>
  <c r="J8" i="3"/>
  <c r="J9" i="3"/>
  <c r="J10" i="3"/>
  <c r="J2" i="3"/>
  <c r="M3" i="4"/>
  <c r="M4" i="4"/>
  <c r="M5" i="4"/>
  <c r="M6" i="4"/>
  <c r="M7" i="4"/>
  <c r="M8" i="4"/>
  <c r="M9" i="4"/>
  <c r="M10" i="4"/>
  <c r="M2" i="4"/>
  <c r="L3" i="4"/>
  <c r="L4" i="4"/>
  <c r="L5" i="4"/>
  <c r="L6" i="4"/>
  <c r="L7" i="4"/>
  <c r="L8" i="4"/>
  <c r="L9" i="4"/>
  <c r="L10" i="4"/>
  <c r="L2" i="4"/>
  <c r="K3" i="4"/>
  <c r="K4" i="4"/>
  <c r="K5" i="4"/>
  <c r="K6" i="4"/>
  <c r="K7" i="4"/>
  <c r="K8" i="4"/>
  <c r="K9" i="4"/>
  <c r="K10" i="4"/>
  <c r="K2" i="4"/>
  <c r="J3" i="2"/>
  <c r="J4" i="2"/>
  <c r="J5" i="2"/>
  <c r="J6" i="2"/>
  <c r="J7" i="2"/>
  <c r="J8" i="2"/>
  <c r="J9" i="2"/>
  <c r="J10" i="2"/>
  <c r="J2" i="2"/>
  <c r="K3" i="8"/>
  <c r="K4" i="8"/>
  <c r="K5" i="8"/>
  <c r="K6" i="8"/>
  <c r="K7" i="8"/>
  <c r="K8" i="8"/>
  <c r="K9" i="8"/>
  <c r="K10" i="8"/>
  <c r="K2" i="8"/>
  <c r="J10" i="8"/>
  <c r="J9" i="8"/>
  <c r="J8" i="8"/>
  <c r="J7" i="8"/>
  <c r="J6" i="8"/>
  <c r="J5" i="8"/>
  <c r="J4" i="8"/>
  <c r="J3" i="8"/>
  <c r="J2" i="8"/>
  <c r="K3" i="9"/>
  <c r="J3" i="9"/>
  <c r="K2" i="9"/>
  <c r="J2" i="9"/>
  <c r="H11" i="1" l="1"/>
  <c r="H12" i="1"/>
</calcChain>
</file>

<file path=xl/sharedStrings.xml><?xml version="1.0" encoding="utf-8"?>
<sst xmlns="http://schemas.openxmlformats.org/spreadsheetml/2006/main" count="584" uniqueCount="89">
  <si>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</si>
  <si>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</si>
  <si>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</si>
  <si>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</si>
  <si>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</si>
  <si>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</si>
  <si>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</si>
  <si>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</si>
  <si>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</si>
  <si>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</si>
  <si>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</si>
  <si>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</si>
  <si>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</si>
  <si>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</si>
  <si>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</si>
  <si>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</si>
  <si>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</si>
  <si>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</si>
  <si>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</si>
  <si>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</si>
  <si>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</si>
  <si>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</si>
  <si>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</si>
  <si>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</si>
  <si>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</si>
  <si>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</si>
  <si>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</si>
  <si>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</si>
  <si>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</si>
  <si>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</si>
  <si>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</si>
  <si>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</si>
  <si>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</si>
  <si>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</si>
  <si>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</si>
  <si>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</si>
  <si>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</si>
  <si>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</si>
  <si>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</si>
  <si>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</si>
  <si>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</si>
  <si>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</si>
  <si>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</si>
  <si>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</si>
  <si>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</si>
  <si>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</si>
  <si>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</si>
  <si>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</si>
  <si>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</si>
  <si>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</si>
  <si>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</si>
  <si>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</si>
  <si>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</si>
  <si>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</si>
  <si>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</si>
  <si>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</si>
  <si>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</si>
  <si>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</si>
  <si>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</si>
  <si>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</si>
  <si>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</si>
  <si>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</si>
  <si>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</si>
  <si>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</si>
  <si>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</si>
  <si>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</si>
  <si>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</si>
  <si>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</si>
  <si>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</si>
  <si>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</si>
  <si>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</si>
  <si>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</si>
  <si>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</si>
  <si>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</si>
  <si>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</si>
  <si>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</si>
  <si>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</si>
  <si>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</si>
  <si>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</si>
  <si>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</si>
  <si>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</si>
  <si>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</si>
  <si>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</si>
  <si>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</si>
  <si>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</si>
  <si>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</si>
  <si>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</si>
  <si>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</si>
  <si>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Emails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</si>
</sst>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K4" sqref="K4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s="2">
        <f>MAX(G2:G10)</f>
        <v>65000</v>
      </c>
      <c r="K3" s="2">
        <f>MIN(G2:G10)</f>
        <v>36000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K2" sqref="K2:K10"/>
    </sheetView>
  </sheetViews>
  <sheetFormatPr defaultColWidth="13.6328125" defaultRowHeight="14.5" x14ac:dyDescent="0.35"/>
  <cols>
    <col min="1" max="1" width="10.81640625" bestFit="1" customWidth="1"/>
    <col min="4" max="4" width="7.6328125" customWidth="1"/>
    <col min="11" max="11" width="18.906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IF(D2:D10&gt;30,"old","young")</f>
        <v>young</v>
      </c>
      <c r="K2" t="str">
        <f>_xlfn.IFS(F2:F10="Salesman", "Sales",F2:F10="HR","Fire",F2:F10="Regional Manager", "Give bonus")</f>
        <v>Sales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IF(D3:D11&gt;30,"old","young")</f>
        <v>young</v>
      </c>
      <c r="K3" t="e">
        <f t="shared" ref="K3:K10" si="1">_xlfn.IFS(F3:F11="Salesman", "Sales",F3:F11="HR","Fire",F3:F11="Regional Manager", "Give bonus")</f>
        <v>#N/A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young</v>
      </c>
      <c r="K4" t="str">
        <f t="shared" si="1"/>
        <v>Sales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old</v>
      </c>
      <c r="K5" t="e">
        <f t="shared" si="1"/>
        <v>#N/A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old</v>
      </c>
      <c r="K6" t="str">
        <f t="shared" si="1"/>
        <v>Fire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old</v>
      </c>
      <c r="K7" t="str">
        <f t="shared" si="1"/>
        <v>Give bonus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old</v>
      </c>
      <c r="K8" t="e">
        <f t="shared" si="1"/>
        <v>#N/A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old</v>
      </c>
      <c r="K9" t="str">
        <f t="shared" si="1"/>
        <v>Sales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old</v>
      </c>
      <c r="K10" t="e">
        <f t="shared" si="1"/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J2" sqref="J2"/>
    </sheetView>
  </sheetViews>
  <sheetFormatPr defaultColWidth="10.90625" defaultRowHeight="14.5" x14ac:dyDescent="0.35"/>
  <cols>
    <col min="1" max="1" width="10.81640625" bestFit="1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LEN(C2:C10)</f>
        <v>7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LEN(C3:C11)</f>
        <v>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7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6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10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f t="shared" si="0"/>
        <v>5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f t="shared" si="0"/>
        <v>6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f t="shared" si="0"/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topLeftCell="D1" workbookViewId="0">
      <selection activeCell="H2" sqref="H2"/>
    </sheetView>
  </sheetViews>
  <sheetFormatPr defaultColWidth="14.54296875" defaultRowHeight="14.5" x14ac:dyDescent="0.35"/>
  <cols>
    <col min="4" max="4" width="8" customWidth="1"/>
    <col min="10" max="10" width="41.54296875" bestFit="1" customWidth="1"/>
  </cols>
  <sheetData>
    <row r="1" spans="1:13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3" t="s">
        <v>48</v>
      </c>
      <c r="I2" s="3" t="s">
        <v>56</v>
      </c>
      <c r="J2" s="1" t="s">
        <v>39</v>
      </c>
      <c r="K2" t="str">
        <f>LEFT(F2:F10,3)</f>
        <v>Sal</v>
      </c>
      <c r="L2" t="str">
        <f>RIGHT(F2:F10,2)</f>
        <v>an</v>
      </c>
      <c r="M2" t="str">
        <f>RIGHT(I2:I10,4)</f>
        <v>2015</v>
      </c>
    </row>
    <row r="3" spans="1:13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3" t="s">
        <v>49</v>
      </c>
      <c r="I3" s="3" t="s">
        <v>57</v>
      </c>
      <c r="J3" s="1" t="s">
        <v>40</v>
      </c>
      <c r="K3" t="str">
        <f t="shared" ref="K3:K10" si="0">LEFT(F3:F11,3)</f>
        <v>Rec</v>
      </c>
      <c r="L3" t="str">
        <f t="shared" ref="L3:L10" si="1">RIGHT(F3:F11,2)</f>
        <v>st</v>
      </c>
      <c r="M3" t="str">
        <f t="shared" ref="M3:M10" si="2">RIGHT(I3:I11,4)</f>
        <v>2015</v>
      </c>
    </row>
    <row r="4" spans="1:13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3" t="s">
        <v>50</v>
      </c>
      <c r="I4" s="3" t="s">
        <v>58</v>
      </c>
      <c r="J4" s="1" t="s">
        <v>41</v>
      </c>
      <c r="K4" t="str">
        <f t="shared" si="0"/>
        <v>Sal</v>
      </c>
      <c r="L4" t="str">
        <f t="shared" si="1"/>
        <v>an</v>
      </c>
      <c r="M4" t="str">
        <f t="shared" si="2"/>
        <v>2017</v>
      </c>
    </row>
    <row r="5" spans="1:13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3" t="s">
        <v>51</v>
      </c>
      <c r="I5" s="3" t="s">
        <v>59</v>
      </c>
      <c r="J5" s="1" t="s">
        <v>42</v>
      </c>
      <c r="K5" t="str">
        <f t="shared" si="0"/>
        <v>Acc</v>
      </c>
      <c r="L5" t="str">
        <f t="shared" si="1"/>
        <v>nt</v>
      </c>
      <c r="M5" t="str">
        <f t="shared" si="2"/>
        <v>2015</v>
      </c>
    </row>
    <row r="6" spans="1:13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3" t="s">
        <v>52</v>
      </c>
      <c r="I6" s="3" t="s">
        <v>60</v>
      </c>
      <c r="J6" s="1" t="s">
        <v>43</v>
      </c>
      <c r="K6" t="str">
        <f t="shared" si="0"/>
        <v>HR</v>
      </c>
      <c r="L6" t="str">
        <f t="shared" si="1"/>
        <v>HR</v>
      </c>
      <c r="M6" t="str">
        <f t="shared" si="2"/>
        <v>2017</v>
      </c>
    </row>
    <row r="7" spans="1:13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3" t="s">
        <v>52</v>
      </c>
      <c r="I7" s="3" t="s">
        <v>61</v>
      </c>
      <c r="J7" s="1" t="s">
        <v>44</v>
      </c>
      <c r="K7" t="str">
        <f t="shared" si="0"/>
        <v>Reg</v>
      </c>
      <c r="L7" t="str">
        <f t="shared" si="1"/>
        <v>er</v>
      </c>
      <c r="M7" t="str">
        <f t="shared" si="2"/>
        <v>2013</v>
      </c>
    </row>
    <row r="8" spans="1:13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3" t="s">
        <v>53</v>
      </c>
      <c r="I8" s="3" t="s">
        <v>61</v>
      </c>
      <c r="J8" s="1" t="s">
        <v>45</v>
      </c>
      <c r="K8" t="str">
        <f t="shared" si="0"/>
        <v>Sup</v>
      </c>
      <c r="L8" t="str">
        <f t="shared" si="1"/>
        <v>ns</v>
      </c>
      <c r="M8" t="str">
        <f t="shared" si="2"/>
        <v>2013</v>
      </c>
    </row>
    <row r="9" spans="1:13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3" t="s">
        <v>54</v>
      </c>
      <c r="I9" s="3" t="s">
        <v>62</v>
      </c>
      <c r="J9" s="1" t="s">
        <v>46</v>
      </c>
      <c r="K9" t="str">
        <f t="shared" si="0"/>
        <v>Sal</v>
      </c>
      <c r="L9" t="str">
        <f t="shared" si="1"/>
        <v>an</v>
      </c>
      <c r="M9" t="str">
        <f t="shared" si="2"/>
        <v>2015</v>
      </c>
    </row>
    <row r="10" spans="1:13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3" t="s">
        <v>55</v>
      </c>
      <c r="I10" s="3" t="s">
        <v>62</v>
      </c>
      <c r="J10" s="1" t="s">
        <v>47</v>
      </c>
      <c r="K10" t="str">
        <f t="shared" si="0"/>
        <v>Acc</v>
      </c>
      <c r="L10" t="str">
        <f t="shared" si="1"/>
        <v>nt</v>
      </c>
      <c r="M10" t="str">
        <f t="shared" si="2"/>
        <v>2015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M13"/>
  <sheetViews>
    <sheetView topLeftCell="B1" workbookViewId="0">
      <selection activeCell="M2" sqref="M2:M10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3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3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TEXT(H2:H10,"dd/mm/yyyy")</f>
        <v>02/11/2001</v>
      </c>
      <c r="K2" s="3"/>
      <c r="L2" s="3" t="str">
        <f>TEXT(J2:J10,"dd/mm/yyyy")</f>
        <v>11/02/2001</v>
      </c>
      <c r="M2" t="str">
        <f>RIGHT(L2:L10,4)</f>
        <v>2001</v>
      </c>
    </row>
    <row r="3" spans="1:13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L10" si="0">TEXT(H3:H11,"dd/mm/yyyy")</f>
        <v>03/10/1999</v>
      </c>
      <c r="K3" s="3"/>
      <c r="L3" s="3" t="str">
        <f t="shared" si="0"/>
        <v>10/03/1999</v>
      </c>
      <c r="M3" t="str">
        <f t="shared" ref="M3:M10" si="1">RIGHT(L3:L11,4)</f>
        <v>1999</v>
      </c>
    </row>
    <row r="4" spans="1:13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04/07/2000</v>
      </c>
      <c r="K4" s="3"/>
      <c r="L4" s="3" t="str">
        <f t="shared" si="0"/>
        <v>07/04/2000</v>
      </c>
      <c r="M4" t="str">
        <f t="shared" si="1"/>
        <v>2000</v>
      </c>
    </row>
    <row r="5" spans="1:13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05/01/2000</v>
      </c>
      <c r="K5" s="3"/>
      <c r="L5" s="3" t="str">
        <f t="shared" si="0"/>
        <v>01/05/2000</v>
      </c>
      <c r="M5" t="str">
        <f t="shared" si="1"/>
        <v>2000</v>
      </c>
    </row>
    <row r="6" spans="1:13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06/05/2001</v>
      </c>
      <c r="K6" s="3"/>
      <c r="L6" s="3" t="str">
        <f t="shared" si="0"/>
        <v>05/06/2001</v>
      </c>
      <c r="M6" t="str">
        <f t="shared" si="1"/>
        <v>2001</v>
      </c>
    </row>
    <row r="7" spans="1:13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07/12/1995</v>
      </c>
      <c r="K7" s="3"/>
      <c r="L7" s="3" t="str">
        <f t="shared" si="0"/>
        <v>12/07/1995</v>
      </c>
      <c r="M7" t="str">
        <f t="shared" si="1"/>
        <v>1995</v>
      </c>
    </row>
    <row r="8" spans="1:13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08/11/2003</v>
      </c>
      <c r="K8" s="3"/>
      <c r="L8" s="3" t="str">
        <f t="shared" si="0"/>
        <v>11/08/2003</v>
      </c>
      <c r="M8" t="str">
        <f t="shared" si="1"/>
        <v>2003</v>
      </c>
    </row>
    <row r="9" spans="1:13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09/06/2002</v>
      </c>
      <c r="K9" s="3"/>
      <c r="L9" s="3" t="str">
        <f t="shared" si="0"/>
        <v>06/09/2002</v>
      </c>
      <c r="M9" t="str">
        <f t="shared" si="1"/>
        <v>2002</v>
      </c>
    </row>
    <row r="10" spans="1:13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10/08/2003</v>
      </c>
      <c r="K10" s="3"/>
      <c r="L10" s="3" t="str">
        <f t="shared" si="0"/>
        <v>08/10/2003</v>
      </c>
      <c r="M10" t="str">
        <f t="shared" si="1"/>
        <v>2003</v>
      </c>
    </row>
    <row r="12" spans="1:13" x14ac:dyDescent="0.35">
      <c r="H12" s="1"/>
    </row>
    <row r="13" spans="1:13" x14ac:dyDescent="0.35">
      <c r="H13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tabSelected="1" workbookViewId="0">
      <selection activeCell="J2" sqref="J2:J10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35">
      <c r="A2">
        <v>1001</v>
      </c>
      <c r="B2" s="3" t="s">
        <v>2</v>
      </c>
      <c r="C2" s="3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TRIM(C2:C10)</f>
        <v>Halpert</v>
      </c>
    </row>
    <row r="3" spans="1:11" x14ac:dyDescent="0.35">
      <c r="A3">
        <v>1002</v>
      </c>
      <c r="B3" s="3" t="s">
        <v>4</v>
      </c>
      <c r="C3" s="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TRIM(C3:C11)</f>
        <v>Beasley</v>
      </c>
    </row>
    <row r="4" spans="1:11" x14ac:dyDescent="0.35">
      <c r="A4">
        <v>1003</v>
      </c>
      <c r="B4" s="3" t="s">
        <v>6</v>
      </c>
      <c r="C4" s="3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Schrute</v>
      </c>
    </row>
    <row r="5" spans="1:11" x14ac:dyDescent="0.35">
      <c r="A5">
        <v>1004</v>
      </c>
      <c r="B5" s="3" t="s">
        <v>13</v>
      </c>
      <c r="C5" s="3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Martin</v>
      </c>
    </row>
    <row r="6" spans="1:11" x14ac:dyDescent="0.35">
      <c r="A6">
        <v>1005</v>
      </c>
      <c r="B6" s="3" t="s">
        <v>14</v>
      </c>
      <c r="C6" s="3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Flenderson</v>
      </c>
    </row>
    <row r="7" spans="1:11" x14ac:dyDescent="0.35">
      <c r="A7">
        <v>1006</v>
      </c>
      <c r="B7" s="3" t="s">
        <v>8</v>
      </c>
      <c r="C7" s="3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Scott</v>
      </c>
    </row>
    <row r="8" spans="1:11" x14ac:dyDescent="0.35">
      <c r="A8">
        <v>1007</v>
      </c>
      <c r="B8" s="3" t="s">
        <v>33</v>
      </c>
      <c r="C8" s="3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Palmer</v>
      </c>
    </row>
    <row r="9" spans="1:11" x14ac:dyDescent="0.35">
      <c r="A9">
        <v>1008</v>
      </c>
      <c r="B9" s="3" t="s">
        <v>16</v>
      </c>
      <c r="C9" s="3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Hudson</v>
      </c>
    </row>
    <row r="10" spans="1:11" x14ac:dyDescent="0.35">
      <c r="A10">
        <v>1009</v>
      </c>
      <c r="B10" s="3" t="s">
        <v>10</v>
      </c>
      <c r="C10" s="3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workbookViewId="0">
      <selection activeCell="K12" sqref="K12"/>
    </sheetView>
  </sheetViews>
  <sheetFormatPr defaultRowHeight="14.5" x14ac:dyDescent="0.35"/>
  <cols>
    <col min="2" max="2" width="10.453125" customWidth="1"/>
    <col min="3" max="5" width="10.6328125" customWidth="1"/>
    <col min="6" max="6" width="16.54296875" customWidth="1"/>
    <col min="8" max="8" width="14.1796875" customWidth="1"/>
    <col min="9" max="9" width="14.81640625" customWidth="1"/>
    <col min="10" max="10" width="22" bestFit="1" customWidth="1"/>
    <col min="11" max="11" width="20.26953125" bestFit="1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  <c r="K1" t="s">
        <v>88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CONCATENATE(B2," ",C2)</f>
        <v>Jim Halpert</v>
      </c>
      <c r="K2" t="str">
        <f>CONCATENATE(B2,C2,"@gmail.com")</f>
        <v>JimHalpert@gmail.com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2" si="0">CONCATENATE(B3," ",C3)</f>
        <v>Pam Beasley</v>
      </c>
      <c r="K3" t="str">
        <f t="shared" ref="K3:K12" si="1">CONCATENATE(B3,C3,"@gmail.com")</f>
        <v>PamBeasley@gmail.com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DwightSchrute@gmail.com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AngelaMartin@gmail.com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TobyFlenderson@gmail.com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MichaelScott@gmail.com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MeredithPalmer@gmail.com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StanleyHudson@gmail.com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KevinMalone@gmail.com</v>
      </c>
    </row>
    <row r="11" spans="1:11" x14ac:dyDescent="0.35">
      <c r="H11" t="str">
        <f t="shared" ref="H11:H12" si="2">CONCATENATE(B11," ",C11)</f>
        <v xml:space="preserve"> </v>
      </c>
      <c r="J11" t="str">
        <f t="shared" si="0"/>
        <v xml:space="preserve"> </v>
      </c>
    </row>
    <row r="12" spans="1:11" x14ac:dyDescent="0.35">
      <c r="H12" t="str">
        <f t="shared" si="2"/>
        <v xml:space="preserve"> </v>
      </c>
      <c r="J12" t="str">
        <f t="shared" si="0"/>
        <v xml:space="preserve">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K2" sqref="K2:K10"/>
    </sheetView>
  </sheetViews>
  <sheetFormatPr defaultColWidth="13.6328125" defaultRowHeight="14.5" x14ac:dyDescent="0.35"/>
  <cols>
    <col min="1" max="1" width="10.81640625" bestFit="1" customWidth="1"/>
    <col min="4" max="4" width="7.6328125" customWidth="1"/>
    <col min="7" max="7" width="13.6328125" style="2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s="2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 s="2">
        <v>45000</v>
      </c>
      <c r="H2" s="3" t="s">
        <v>48</v>
      </c>
      <c r="I2" s="3" t="s">
        <v>56</v>
      </c>
      <c r="J2" t="str">
        <f>SUBSTITUTE(H2:H10,"/","-",1)</f>
        <v>11-2/2001</v>
      </c>
      <c r="K2" t="str">
        <f>SUBSTITUTE(H2:H10,"/","-",2)</f>
        <v>11/2-2001</v>
      </c>
      <c r="L2" t="str">
        <f>SUBSTITUTE(H2:H10,"/","-")</f>
        <v>11-2-2001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 s="2">
        <v>36000</v>
      </c>
      <c r="H3" s="3" t="s">
        <v>49</v>
      </c>
      <c r="I3" s="3" t="s">
        <v>57</v>
      </c>
      <c r="J3" t="str">
        <f t="shared" ref="J3:K10" si="0">SUBSTITUTE(H3:H11,"/","-",1)</f>
        <v>10-3/1999</v>
      </c>
      <c r="K3" t="str">
        <f t="shared" ref="K3:K10" si="1">SUBSTITUTE(H3:H11,"/","-",2)</f>
        <v>10/3-1999</v>
      </c>
      <c r="L3" t="str">
        <f t="shared" ref="L3:L10" si="2">SUBSTITUTE(H3:H11,"/","-")</f>
        <v>10-3-1999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 s="2">
        <v>63000</v>
      </c>
      <c r="H4" s="3" t="s">
        <v>50</v>
      </c>
      <c r="I4" s="3" t="s">
        <v>58</v>
      </c>
      <c r="J4" t="str">
        <f t="shared" si="0"/>
        <v>7-4/2000</v>
      </c>
      <c r="K4" t="str">
        <f t="shared" si="1"/>
        <v>7/4-2000</v>
      </c>
      <c r="L4" t="str">
        <f t="shared" si="2"/>
        <v>7-4-2000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 s="2">
        <v>47000</v>
      </c>
      <c r="H5" s="3" t="s">
        <v>51</v>
      </c>
      <c r="I5" s="3" t="s">
        <v>59</v>
      </c>
      <c r="J5" t="str">
        <f t="shared" si="0"/>
        <v>1-5/2000</v>
      </c>
      <c r="K5" t="str">
        <f t="shared" si="1"/>
        <v>1/5-2000</v>
      </c>
      <c r="L5" t="str">
        <f t="shared" si="2"/>
        <v>1-5-2000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 s="2">
        <v>50000</v>
      </c>
      <c r="H6" s="3" t="s">
        <v>52</v>
      </c>
      <c r="I6" s="3" t="s">
        <v>60</v>
      </c>
      <c r="J6" t="str">
        <f t="shared" si="0"/>
        <v>5-6/2001</v>
      </c>
      <c r="K6" t="str">
        <f t="shared" si="1"/>
        <v>5/6-2001</v>
      </c>
      <c r="L6" t="str">
        <f t="shared" si="2"/>
        <v>5-6-2001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 s="2">
        <v>65000</v>
      </c>
      <c r="H7" s="3" t="s">
        <v>52</v>
      </c>
      <c r="I7" s="3" t="s">
        <v>61</v>
      </c>
      <c r="J7" t="str">
        <f t="shared" si="0"/>
        <v>5-6/2001</v>
      </c>
      <c r="K7" t="str">
        <f t="shared" si="1"/>
        <v>5/6-2001</v>
      </c>
      <c r="L7" t="str">
        <f t="shared" si="2"/>
        <v>5-6-2001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 s="2">
        <v>41000</v>
      </c>
      <c r="H8" s="3" t="s">
        <v>53</v>
      </c>
      <c r="I8" s="3" t="s">
        <v>61</v>
      </c>
      <c r="J8" t="str">
        <f t="shared" si="0"/>
        <v>11-8/2003</v>
      </c>
      <c r="K8" t="str">
        <f t="shared" si="1"/>
        <v>11/8-2003</v>
      </c>
      <c r="L8" t="str">
        <f t="shared" si="2"/>
        <v>11-8-2003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 s="2">
        <v>48000</v>
      </c>
      <c r="H9" s="3" t="s">
        <v>54</v>
      </c>
      <c r="I9" s="3" t="s">
        <v>62</v>
      </c>
      <c r="J9" t="str">
        <f t="shared" si="0"/>
        <v>6-9/2002</v>
      </c>
      <c r="K9" t="str">
        <f t="shared" si="1"/>
        <v>6/9-2002</v>
      </c>
      <c r="L9" t="str">
        <f t="shared" si="2"/>
        <v>6-9-2002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 s="2">
        <v>42000</v>
      </c>
      <c r="H10" s="3" t="s">
        <v>55</v>
      </c>
      <c r="I10" s="3" t="s">
        <v>62</v>
      </c>
      <c r="J10" t="str">
        <f t="shared" si="0"/>
        <v>8-10/2003</v>
      </c>
      <c r="K10" t="str">
        <f t="shared" si="1"/>
        <v>8/10-2003</v>
      </c>
      <c r="L10" t="str">
        <f t="shared" si="2"/>
        <v>8-10-2003</v>
      </c>
    </row>
    <row r="12" spans="1:12" x14ac:dyDescent="0.35">
      <c r="H12" s="3"/>
      <c r="I12" s="3"/>
    </row>
    <row r="13" spans="1:12" x14ac:dyDescent="0.35">
      <c r="H13" s="3"/>
      <c r="I13" s="3"/>
    </row>
    <row r="14" spans="1:12" x14ac:dyDescent="0.35">
      <c r="H14" s="3"/>
      <c r="I14" s="3"/>
    </row>
    <row r="15" spans="1:12" x14ac:dyDescent="0.35">
      <c r="H15" s="3"/>
      <c r="I15" s="3"/>
    </row>
    <row r="16" spans="1:12" x14ac:dyDescent="0.35">
      <c r="H16" s="3"/>
      <c r="I16" s="3"/>
    </row>
    <row r="17" spans="8:9" x14ac:dyDescent="0.35">
      <c r="H17" s="3"/>
      <c r="I17" s="3"/>
    </row>
    <row r="18" spans="8:9" x14ac:dyDescent="0.35">
      <c r="H18" s="3"/>
      <c r="I18" s="3"/>
    </row>
    <row r="19" spans="8:9" x14ac:dyDescent="0.35">
      <c r="H19" s="3"/>
      <c r="I19" s="3"/>
    </row>
    <row r="20" spans="8:9" x14ac:dyDescent="0.35">
      <c r="H20" s="3"/>
      <c r="I20" s="3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L2" sqref="L2"/>
    </sheetView>
  </sheetViews>
  <sheetFormatPr defaultColWidth="13" defaultRowHeight="14.5" x14ac:dyDescent="0.35"/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SUM(G2:G$10)</f>
        <v>437000</v>
      </c>
      <c r="K2">
        <f>SUMIF(G2:G10,"&gt;45000")</f>
        <v>273000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SUM(G3:G$10)</f>
        <v>392000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>SUM(G4:G$10)</f>
        <v>356000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>SUM(G5:G$10)</f>
        <v>293000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>SUM(G6:G$10)</f>
        <v>246000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f>SUM(G7:G$10)</f>
        <v>196000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f>SUM(G8:G$10)</f>
        <v>131000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>SUM(G9:G$10)</f>
        <v>90000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f>SUM(G10:G$10)</f>
        <v>42000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F22" sqref="F22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workbookViewId="0">
      <selection activeCell="K2" sqref="K2:K10"/>
    </sheetView>
  </sheetViews>
  <sheetFormatPr defaultRowHeight="14.5" x14ac:dyDescent="0.35"/>
  <cols>
    <col min="8" max="8" width="14.453125" customWidth="1"/>
    <col min="9" max="9" width="13.3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s="2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 s="2">
        <v>45000</v>
      </c>
      <c r="H2" s="3" t="s">
        <v>48</v>
      </c>
      <c r="I2" s="3" t="s">
        <v>56</v>
      </c>
      <c r="J2">
        <f>_xlfn.DAYS(I2,H2)</f>
        <v>5056</v>
      </c>
      <c r="K2">
        <f>NETWORKDAYS(H2,I2)</f>
        <v>3611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 s="2">
        <v>36000</v>
      </c>
      <c r="H3" s="3" t="s">
        <v>49</v>
      </c>
      <c r="I3" s="3" t="s">
        <v>57</v>
      </c>
      <c r="J3">
        <f t="shared" ref="J3:J10" si="0">_xlfn.DAYS(I3,H3)</f>
        <v>5851</v>
      </c>
      <c r="K3">
        <f t="shared" ref="K3:K10" si="1">NETWORKDAYS(H3,I3)</f>
        <v>4180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 s="2">
        <v>63000</v>
      </c>
      <c r="H4" s="3" t="s">
        <v>50</v>
      </c>
      <c r="I4" s="3" t="s">
        <v>58</v>
      </c>
      <c r="J4">
        <f t="shared" si="0"/>
        <v>6275</v>
      </c>
      <c r="K4">
        <f t="shared" si="1"/>
        <v>4484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 s="2">
        <v>47000</v>
      </c>
      <c r="H5" s="3" t="s">
        <v>51</v>
      </c>
      <c r="I5" s="3" t="s">
        <v>59</v>
      </c>
      <c r="J5">
        <f t="shared" si="0"/>
        <v>5811</v>
      </c>
      <c r="K5">
        <f t="shared" si="1"/>
        <v>4152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 s="2">
        <v>50000</v>
      </c>
      <c r="H6" s="3" t="s">
        <v>52</v>
      </c>
      <c r="I6" s="3" t="s">
        <v>60</v>
      </c>
      <c r="J6">
        <f t="shared" si="0"/>
        <v>5960</v>
      </c>
      <c r="K6">
        <f t="shared" si="1"/>
        <v>4258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 s="2">
        <v>65000</v>
      </c>
      <c r="H7" s="3" t="s">
        <v>52</v>
      </c>
      <c r="I7" s="3" t="s">
        <v>61</v>
      </c>
      <c r="J7">
        <f t="shared" si="0"/>
        <v>4511</v>
      </c>
      <c r="K7">
        <f t="shared" si="1"/>
        <v>3223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 s="2">
        <v>41000</v>
      </c>
      <c r="H8" s="3" t="s">
        <v>53</v>
      </c>
      <c r="I8" s="3" t="s">
        <v>61</v>
      </c>
      <c r="J8">
        <f t="shared" si="0"/>
        <v>3595</v>
      </c>
      <c r="K8">
        <f t="shared" si="1"/>
        <v>2568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 s="2">
        <v>48000</v>
      </c>
      <c r="H9" s="3" t="s">
        <v>54</v>
      </c>
      <c r="I9" s="3" t="s">
        <v>62</v>
      </c>
      <c r="J9">
        <f t="shared" si="0"/>
        <v>4700</v>
      </c>
      <c r="K9">
        <f t="shared" si="1"/>
        <v>3358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 s="2">
        <v>42000</v>
      </c>
      <c r="H10" s="3" t="s">
        <v>55</v>
      </c>
      <c r="I10" s="3" t="s">
        <v>62</v>
      </c>
      <c r="J10">
        <f t="shared" si="0"/>
        <v>4273</v>
      </c>
      <c r="K10">
        <f t="shared" si="1"/>
        <v>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Concatenate</vt:lpstr>
      <vt:lpstr>Substitute</vt:lpstr>
      <vt:lpstr>SUM-SumIF</vt:lpstr>
      <vt:lpstr>Count-CountIF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Administrator</cp:lastModifiedBy>
  <dcterms:created xsi:type="dcterms:W3CDTF">2021-12-16T14:18:34Z</dcterms:created>
  <dcterms:modified xsi:type="dcterms:W3CDTF">2026-02-11T17:49:18Z</dcterms:modified>
</cp:coreProperties>
</file>