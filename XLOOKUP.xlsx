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3" activeTab="6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<sst xmlns="http://schemas.openxmlformats.org/spreadsheetml/2006/main" count="485" uniqueCount="92">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</sst>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B3" sqref="B3:B6"/>
    </sheetView>
  </sheetViews>
  <sheetFormatPr defaultColWidth="9" defaultRowHeight="14.5"/>
  <cols>
    <col min="1" max="1" width="16.2727272727273" customWidth="1"/>
    <col min="2" max="2" width="45.5454545454545" customWidth="1"/>
    <col min="8" max="8" width="14.6636363636364" customWidth="1"/>
    <col min="12" max="12" width="15.7818181818182" customWidth="1"/>
    <col min="16" max="16" width="40.6636363636364" customWidth="1"/>
  </cols>
  <sheetData>
    <row r="1" spans="5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>_xlfn.XLOOKUP(A5,H4:H12,P4:P12)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>_xlfn.XLOOKUP(A6,H5:H13,P5:P13)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5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5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5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5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0">CONCATENATE(F12," ",G12)</f>
        <v> </v>
      </c>
    </row>
    <row r="23" spans="8:8">
      <c r="H23" t="str">
        <f t="shared" si="0"/>
        <v> 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C13" sqref="C13"/>
    </sheetView>
  </sheetViews>
  <sheetFormatPr defaultColWidth="9" defaultRowHeight="14.5"/>
  <cols>
    <col min="1" max="1" width="14.6636363636364" customWidth="1"/>
    <col min="3" max="3" width="45.5454545454545" customWidth="1"/>
    <col min="9" max="9" width="14.6636363636364" customWidth="1"/>
    <col min="12" max="12" width="15.7818181818182" customWidth="1"/>
    <col min="16" max="16" width="40.6636363636364" customWidth="1"/>
  </cols>
  <sheetData>
    <row r="1" spans="6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6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6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6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6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13" spans="3:9">
      <c r="C13" cm="1">
        <f t="array" ref="C13:I13">_xlfn.XLOOKUP(A3,I2:I10,J2:P10)</f>
        <v>32</v>
      </c>
      <c r="D13" t="str">
        <v>Male</v>
      </c>
      <c r="E13" t="str">
        <v>HR</v>
      </c>
      <c r="F13">
        <v>50000</v>
      </c>
      <c r="G13" t="str">
        <v>5/6/2001</v>
      </c>
      <c r="H13" t="str">
        <v>8/30/2017</v>
      </c>
      <c r="I13" t="str">
        <v>Toby.Flenderson@DunderMifflinCorporate.com</v>
      </c>
    </row>
    <row r="22" spans="9:9">
      <c r="I22" t="str">
        <f t="shared" ref="I22:I23" si="0">CONCATENATE(G12," ",H12)</f>
        <v> </v>
      </c>
    </row>
    <row r="23" spans="9:9">
      <c r="I23" t="str">
        <f t="shared" si="0"/>
        <v>5/6/2001 8/30/2017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selection activeCell="E11" sqref="E11"/>
    </sheetView>
  </sheetViews>
  <sheetFormatPr defaultColWidth="9" defaultRowHeight="14.5"/>
  <cols>
    <col min="1" max="1" width="14.6636363636364" customWidth="1"/>
    <col min="2" max="2" width="47.0909090909091" customWidth="1"/>
    <col min="8" max="8" width="14.6636363636364" customWidth="1"/>
    <col min="11" max="11" width="15.7818181818182" customWidth="1"/>
    <col min="15" max="15" width="40.6636363636364" customWidth="1"/>
  </cols>
  <sheetData>
    <row r="1" spans="5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71</v>
      </c>
      <c r="B3" t="str">
        <f>_xlfn.XLOOKUP(A3,H2:H10,O2:O10,"not found")</f>
        <v>not 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>
      <c r="A4" t="s">
        <v>22</v>
      </c>
      <c r="B4" t="str">
        <f>_xlfn.XLOOKUP("*"&amp;A4,H2:H10,O2:O10,"not found",2)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>_xlfn.XLOOKUP(A5&amp;"*",H2:H10,O2:O10,"not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72</v>
      </c>
      <c r="B6" t="str">
        <f>_xlfn.XLOOKUP(A6&amp;"*",H3:H11,O3:O11,"not found",2)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5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5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5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5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0">CONCATENATE(F12," ",G12)</f>
        <v> </v>
      </c>
    </row>
    <row r="23" spans="8:8">
      <c r="H23" t="str">
        <f t="shared" si="0"/>
        <v> 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B5" sqref="B5"/>
    </sheetView>
  </sheetViews>
  <sheetFormatPr defaultColWidth="9" defaultRowHeight="14.5"/>
  <cols>
    <col min="1" max="1" width="14.6636363636364" customWidth="1"/>
    <col min="2" max="2" width="14.7818181818182" customWidth="1"/>
    <col min="3" max="3" width="24.5545454545455" customWidth="1"/>
    <col min="9" max="9" width="14.6636363636364" customWidth="1"/>
    <col min="12" max="12" width="15.7818181818182" customWidth="1"/>
    <col min="16" max="16" width="40.6636363636364" customWidth="1"/>
  </cols>
  <sheetData>
    <row r="1" spans="6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_xlfn.XLOOKUP(A3,N2:N10,G2:G10,,1)</f>
        <v>Angela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_xlfn.XLOOKUP(A4,N2:N10,G2:G10,,,2)</f>
        <v>Toby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6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6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6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6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6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6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> </v>
      </c>
    </row>
    <row r="23" spans="9:9">
      <c r="I23" t="str">
        <f t="shared" si="0"/>
        <v> 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E7" sqref="E7"/>
    </sheetView>
  </sheetViews>
  <sheetFormatPr defaultColWidth="10.1090909090909" defaultRowHeight="14.5" outlineLevelRow="3"/>
  <cols>
    <col min="7" max="7" width="12.1090909090909" customWidth="1"/>
  </cols>
  <sheetData>
    <row r="1" spans="2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 cm="1">
        <f t="array" ref="B2"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 cm="1">
        <f t="array" ref="B3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 cm="1">
        <f t="array" ref="B4">_xlfn.XLOOKUP(I3,H3:S3,H4:S4)</f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B8" sqref="B8"/>
    </sheetView>
  </sheetViews>
  <sheetFormatPr defaultColWidth="10.1090909090909" defaultRowHeight="14.5" outlineLevelRow="6"/>
  <cols>
    <col min="7" max="7" width="12.1090909090909" customWidth="1"/>
  </cols>
  <sheetData>
    <row r="1" spans="2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 cm="1">
        <f t="array" ref="B2"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 cm="1">
        <f t="array" ref="B3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 cm="1">
        <f t="array" ref="B4">_xlfn.XLOOKUP(I3,H3:S3,H4:S4)</f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2:2">
      <c r="B6" t="s">
        <v>91</v>
      </c>
    </row>
    <row r="7" spans="1:2">
      <c r="A7" t="s">
        <v>88</v>
      </c>
      <c r="B7">
        <f ca="1">SUM(_xlfn.XLOOKUP(I1,H1:S1,H2:S2):_xlfn.XLOOKUP(J1,H1:S1,H2:S2))</f>
        <v>460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C3" sqref="C3"/>
    </sheetView>
  </sheetViews>
  <sheetFormatPr defaultColWidth="9" defaultRowHeight="14.5"/>
  <cols>
    <col min="1" max="1" width="14.4454545454545" customWidth="1"/>
    <col min="2" max="2" width="32.9090909090909" customWidth="1"/>
  </cols>
  <sheetData>
    <row r="1" spans="5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VLOOKUP(A3,H2:S10,9,FALSE)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>VLOOKUP(A4,H3:S11,9,FALSE)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>VLOOKUP(A5,H4:S12,9,FALSE)</f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5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5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5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5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5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Administrator</cp:lastModifiedBy>
  <dcterms:created xsi:type="dcterms:W3CDTF">2021-12-20T02:45:00Z</dcterms:created>
  <dcterms:modified xsi:type="dcterms:W3CDTF">2026-02-13T19:42:33Z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9A59C92E627A4573A8140E427E23BA1A_12</vt:lpwstr>
  </property>
  <property fmtid="{D5CDD505-2E9C-101B-9397-08002B2CF9AE}" pid="3" name="KSOProductBuildVer">
    <vt:lpwstr>1033-12.2.0.23196</vt:lpwstr>
  </property>
</Properties>
</file>